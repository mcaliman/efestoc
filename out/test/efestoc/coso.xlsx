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00012823\AXA\Underwriting Activity - Documents\Life\Europe\Italy\_CQS_FoS\_CQS\_CQS Recina-Methis\Dossier Banca del Fucino - Fucino Finance\7.Modello di Rimborso\"/>
    </mc:Choice>
  </mc:AlternateContent>
  <xr:revisionPtr revIDLastSave="13" documentId="6_{FB2A39B3-E587-481C-BF8A-F64FF6B36190}" xr6:coauthVersionLast="41" xr6:coauthVersionMax="47" xr10:uidLastSave="{D42B2FE6-D967-4A81-BC88-A1F7DD425382}"/>
  <workbookProtection workbookAlgorithmName="SHA-512" workbookHashValue="58LSGV8CUOV5o4gNa91LlUXzmEsgwbCRr4XKoD3SmSTpsjUxS1/9LcxZ3pdDIVGolgRRCht2elHq4poLikemPw==" workbookSaltValue="PlskqEEzbO2lqhGZn0uqtA==" workbookSpinCount="100000" lockStructure="1"/>
  <bookViews>
    <workbookView xWindow="-120" yWindow="-120" windowWidth="29040" windowHeight="15840" xr2:uid="{00000000-000D-0000-FFFF-FFFF00000000}"/>
  </bookViews>
  <sheets>
    <sheet name="Modello CQS Vita" sheetId="1" r:id="rId1"/>
    <sheet name="Modello CQS Vita ante 1 Feb 201" sheetId="5" state="hidden" r:id="rId2"/>
    <sheet name="Modello CQS Credito" sheetId="6" r:id="rId3"/>
    <sheet name="Feuil1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" i="6" l="1"/>
  <c r="D24" i="6" l="1"/>
  <c r="D15" i="6"/>
  <c r="D12" i="6"/>
  <c r="D27" i="6" l="1"/>
  <c r="D30" i="6"/>
  <c r="D29" i="6"/>
  <c r="D28" i="6" s="1"/>
  <c r="D30" i="5"/>
  <c r="D32" i="5"/>
  <c r="D33" i="5"/>
  <c r="D31" i="5"/>
  <c r="D29" i="5"/>
  <c r="D27" i="5"/>
  <c r="D24" i="5"/>
  <c r="D16" i="5"/>
  <c r="D31" i="6" l="1"/>
  <c r="D26" i="6" s="1"/>
  <c r="D15" i="1"/>
  <c r="D12" i="1" l="1"/>
  <c r="D24" i="1" l="1"/>
  <c r="D29" i="1" l="1"/>
  <c r="D27" i="1"/>
  <c r="D30" i="1"/>
  <c r="D28" i="1" l="1"/>
  <c r="D31" i="1"/>
  <c r="D26" i="1" s="1"/>
  <c r="D21" i="1"/>
</calcChain>
</file>

<file path=xl/sharedStrings.xml><?xml version="1.0" encoding="utf-8"?>
<sst xmlns="http://schemas.openxmlformats.org/spreadsheetml/2006/main" count="107" uniqueCount="45">
  <si>
    <t>Decorrenza finanziamento</t>
  </si>
  <si>
    <t>Scadenza finanziamento</t>
  </si>
  <si>
    <t>Durata (mesi)</t>
  </si>
  <si>
    <t>Data estinzione</t>
  </si>
  <si>
    <t>Durata del periodo di garanzia goduto (mesi)</t>
  </si>
  <si>
    <t>premio puro</t>
  </si>
  <si>
    <t>Inputs</t>
  </si>
  <si>
    <t>MODELLO ESTINZIONI ANTICIPATE</t>
  </si>
  <si>
    <t>Contraente:</t>
  </si>
  <si>
    <t>Polizza nr:</t>
  </si>
  <si>
    <t>Importo da rimborsare</t>
  </si>
  <si>
    <t>Costi amministrativi</t>
  </si>
  <si>
    <t>(N)</t>
  </si>
  <si>
    <t>(P)</t>
  </si>
  <si>
    <t>(H)</t>
  </si>
  <si>
    <t>(K)</t>
  </si>
  <si>
    <t>Premio imponibile al netto di eventuali diritti</t>
  </si>
  <si>
    <t>Commissioni</t>
  </si>
  <si>
    <t>Caricamenti</t>
  </si>
  <si>
    <t>Formula rimborso :</t>
  </si>
  <si>
    <t>Segmento</t>
  </si>
  <si>
    <t>Vita</t>
  </si>
  <si>
    <t>Credito</t>
  </si>
  <si>
    <t>Pubblici</t>
  </si>
  <si>
    <t>Pensionati</t>
  </si>
  <si>
    <t>Comm</t>
  </si>
  <si>
    <t>Totale commissioni</t>
  </si>
  <si>
    <t>(C)</t>
  </si>
  <si>
    <t>(R1)</t>
  </si>
  <si>
    <t>Frais Axa</t>
  </si>
  <si>
    <t>DANNI</t>
  </si>
  <si>
    <t>Tasso d'interesse (TAN)</t>
  </si>
  <si>
    <t>(J)</t>
  </si>
  <si>
    <t>Totale</t>
  </si>
  <si>
    <t>(R)</t>
  </si>
  <si>
    <t>Totale Commissioni</t>
  </si>
  <si>
    <t>Autres</t>
  </si>
  <si>
    <t>Privati</t>
  </si>
  <si>
    <t>Parapubblici</t>
  </si>
  <si>
    <t>*Per il segmento pensionati ci sono 50 Euro che devono essere trattenuti sul premio imponibile per il costo del TUW</t>
  </si>
  <si>
    <t>FIGENPA</t>
  </si>
  <si>
    <t>Caricamenti AXA</t>
  </si>
  <si>
    <t>(P)*</t>
  </si>
  <si>
    <t>Premio imponibile</t>
  </si>
  <si>
    <t>FUCINO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</si>
</sst>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0.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2"/>
      <color theme="1"/>
      <name val="Candara"/>
      <family val="2"/>
    </font>
    <font>
      <b/>
      <sz val="12"/>
      <name val="Candara"/>
      <family val="2"/>
    </font>
    <font>
      <b/>
      <i/>
      <sz val="12"/>
      <name val="Candara"/>
      <family val="2"/>
    </font>
    <font>
      <b/>
      <sz val="14"/>
      <color theme="1"/>
      <name val="Candara"/>
      <family val="2"/>
    </font>
    <font>
      <i/>
      <sz val="12"/>
      <color theme="1"/>
      <name val="Candara"/>
      <family val="2"/>
    </font>
    <font>
      <i/>
      <sz val="12"/>
      <color rgb="FF0070C0"/>
      <name val="Candara"/>
      <family val="2"/>
    </font>
    <font>
      <b/>
      <sz val="18"/>
      <color rgb="FFFF0000"/>
      <name val="Candara"/>
      <family val="2"/>
    </font>
    <font>
      <b/>
      <sz val="11"/>
      <color theme="1"/>
      <name val="Calibri"/>
      <family val="2"/>
      <scheme val="minor"/>
    </font>
    <font>
      <sz val="12"/>
      <color rgb="FFFF0000"/>
      <name val="Candara"/>
      <family val="2"/>
    </font>
    <font>
      <sz val="12"/>
      <name val="Candara"/>
      <family val="2"/>
    </font>
    <font>
      <sz val="12"/>
      <color theme="0"/>
      <name val="Candara"/>
      <family val="2"/>
    </font>
    <font>
      <i/>
      <sz val="11"/>
      <color theme="1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3" fillId="0" borderId="0" xfId="0" applyFont="1" applyFill="1" applyProtection="1">
      <protection hidden="1"/>
    </xf>
    <xf numFmtId="0" fontId="2" fillId="0" borderId="0" xfId="0" applyFont="1" applyAlignment="1" applyProtection="1">
      <alignment horizontal="justify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3" fillId="0" borderId="5" xfId="0" applyFont="1" applyBorder="1" applyProtection="1">
      <protection hidden="1"/>
    </xf>
    <xf numFmtId="0" fontId="3" fillId="0" borderId="9" xfId="0" applyFont="1" applyBorder="1" applyProtection="1">
      <protection hidden="1"/>
    </xf>
    <xf numFmtId="14" fontId="3" fillId="2" borderId="1" xfId="0" applyNumberFormat="1" applyFont="1" applyFill="1" applyBorder="1" applyProtection="1">
      <protection locked="0" hidden="1"/>
    </xf>
    <xf numFmtId="0" fontId="3" fillId="0" borderId="6" xfId="0" applyFont="1" applyBorder="1" applyProtection="1">
      <protection hidden="1"/>
    </xf>
    <xf numFmtId="0" fontId="3" fillId="0" borderId="10" xfId="0" applyFont="1" applyBorder="1" applyProtection="1">
      <protection hidden="1"/>
    </xf>
    <xf numFmtId="14" fontId="3" fillId="2" borderId="2" xfId="0" applyNumberFormat="1" applyFont="1" applyFill="1" applyBorder="1" applyProtection="1">
      <protection locked="0" hidden="1"/>
    </xf>
    <xf numFmtId="165" fontId="8" fillId="0" borderId="0" xfId="0" applyNumberFormat="1" applyFont="1" applyAlignment="1" applyProtection="1">
      <alignment horizontal="left"/>
      <protection hidden="1"/>
    </xf>
    <xf numFmtId="0" fontId="3" fillId="0" borderId="7" xfId="0" applyFont="1" applyBorder="1" applyProtection="1">
      <protection hidden="1"/>
    </xf>
    <xf numFmtId="0" fontId="3" fillId="0" borderId="11" xfId="0" applyFont="1" applyBorder="1" applyProtection="1">
      <protection hidden="1"/>
    </xf>
    <xf numFmtId="2" fontId="3" fillId="0" borderId="3" xfId="0" applyNumberFormat="1" applyFont="1" applyFill="1" applyBorder="1" applyProtection="1">
      <protection hidden="1"/>
    </xf>
    <xf numFmtId="0" fontId="8" fillId="0" borderId="0" xfId="0" applyFont="1" applyAlignment="1" applyProtection="1">
      <alignment horizontal="left"/>
      <protection hidden="1"/>
    </xf>
    <xf numFmtId="0" fontId="3" fillId="0" borderId="0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3" fillId="0" borderId="14" xfId="0" applyFont="1" applyBorder="1" applyProtection="1">
      <protection hidden="1"/>
    </xf>
    <xf numFmtId="0" fontId="3" fillId="0" borderId="15" xfId="0" applyFont="1" applyBorder="1" applyProtection="1">
      <protection hidden="1"/>
    </xf>
    <xf numFmtId="164" fontId="3" fillId="2" borderId="1" xfId="1" applyNumberFormat="1" applyFont="1" applyFill="1" applyBorder="1" applyProtection="1">
      <protection locked="0" hidden="1"/>
    </xf>
    <xf numFmtId="2" fontId="7" fillId="0" borderId="0" xfId="0" applyNumberFormat="1" applyFont="1" applyAlignment="1" applyProtection="1">
      <alignment horizontal="left"/>
      <protection hidden="1"/>
    </xf>
    <xf numFmtId="0" fontId="3" fillId="0" borderId="8" xfId="0" applyFont="1" applyBorder="1" applyProtection="1">
      <protection hidden="1"/>
    </xf>
    <xf numFmtId="0" fontId="3" fillId="0" borderId="12" xfId="0" applyFont="1" applyBorder="1" applyProtection="1">
      <protection hidden="1"/>
    </xf>
    <xf numFmtId="10" fontId="3" fillId="0" borderId="3" xfId="2" applyNumberFormat="1" applyFont="1" applyBorder="1" applyProtection="1">
      <protection hidden="1"/>
    </xf>
    <xf numFmtId="4" fontId="7" fillId="0" borderId="0" xfId="0" applyNumberFormat="1" applyFont="1" applyAlignment="1" applyProtection="1">
      <alignment horizontal="left"/>
      <protection hidden="1"/>
    </xf>
    <xf numFmtId="10" fontId="7" fillId="0" borderId="0" xfId="0" applyNumberFormat="1" applyFont="1" applyAlignment="1" applyProtection="1">
      <alignment horizontal="left"/>
      <protection hidden="1"/>
    </xf>
    <xf numFmtId="2" fontId="3" fillId="0" borderId="0" xfId="0" applyNumberFormat="1" applyFont="1" applyProtection="1">
      <protection hidden="1"/>
    </xf>
    <xf numFmtId="0" fontId="4" fillId="3" borderId="5" xfId="0" applyFont="1" applyFill="1" applyBorder="1" applyProtection="1">
      <protection hidden="1"/>
    </xf>
    <xf numFmtId="0" fontId="4" fillId="3" borderId="9" xfId="0" applyFont="1" applyFill="1" applyBorder="1" applyProtection="1">
      <protection hidden="1"/>
    </xf>
    <xf numFmtId="164" fontId="4" fillId="3" borderId="1" xfId="1" applyFont="1" applyFill="1" applyBorder="1" applyProtection="1">
      <protection hidden="1"/>
    </xf>
    <xf numFmtId="0" fontId="5" fillId="3" borderId="6" xfId="0" applyFont="1" applyFill="1" applyBorder="1" applyAlignment="1" applyProtection="1">
      <alignment horizontal="right"/>
      <protection hidden="1"/>
    </xf>
    <xf numFmtId="0" fontId="5" fillId="3" borderId="10" xfId="0" applyFont="1" applyFill="1" applyBorder="1" applyAlignment="1" applyProtection="1">
      <alignment horizontal="right"/>
      <protection hidden="1"/>
    </xf>
    <xf numFmtId="164" fontId="5" fillId="3" borderId="2" xfId="1" applyFont="1" applyFill="1" applyBorder="1" applyProtection="1">
      <protection hidden="1"/>
    </xf>
    <xf numFmtId="164" fontId="8" fillId="0" borderId="0" xfId="0" applyNumberFormat="1" applyFont="1" applyAlignment="1" applyProtection="1">
      <alignment horizontal="left"/>
      <protection hidden="1"/>
    </xf>
    <xf numFmtId="9" fontId="7" fillId="0" borderId="0" xfId="2" applyFont="1" applyAlignment="1" applyProtection="1">
      <alignment horizontal="left"/>
      <protection hidden="1"/>
    </xf>
    <xf numFmtId="164" fontId="7" fillId="0" borderId="0" xfId="0" applyNumberFormat="1" applyFont="1" applyAlignment="1" applyProtection="1">
      <alignment horizontal="left"/>
      <protection hidden="1"/>
    </xf>
    <xf numFmtId="0" fontId="5" fillId="3" borderId="8" xfId="0" applyFont="1" applyFill="1" applyBorder="1" applyAlignment="1" applyProtection="1">
      <alignment horizontal="right"/>
      <protection hidden="1"/>
    </xf>
    <xf numFmtId="0" fontId="5" fillId="3" borderId="12" xfId="0" applyFont="1" applyFill="1" applyBorder="1" applyAlignment="1" applyProtection="1">
      <alignment horizontal="right"/>
      <protection hidden="1"/>
    </xf>
    <xf numFmtId="164" fontId="5" fillId="3" borderId="4" xfId="1" applyFont="1" applyFill="1" applyBorder="1" applyProtection="1">
      <protection hidden="1"/>
    </xf>
    <xf numFmtId="0" fontId="5" fillId="3" borderId="7" xfId="0" applyFont="1" applyFill="1" applyBorder="1" applyAlignment="1" applyProtection="1">
      <alignment horizontal="right"/>
      <protection hidden="1"/>
    </xf>
    <xf numFmtId="0" fontId="5" fillId="3" borderId="11" xfId="0" applyFont="1" applyFill="1" applyBorder="1" applyAlignment="1" applyProtection="1">
      <alignment horizontal="right"/>
      <protection hidden="1"/>
    </xf>
    <xf numFmtId="164" fontId="5" fillId="3" borderId="3" xfId="1" applyFont="1" applyFill="1" applyBorder="1" applyProtection="1">
      <protection hidden="1"/>
    </xf>
    <xf numFmtId="14" fontId="3" fillId="2" borderId="0" xfId="0" applyNumberFormat="1" applyFont="1" applyFill="1" applyBorder="1" applyProtection="1">
      <protection locked="0" hidden="1"/>
    </xf>
    <xf numFmtId="0" fontId="3" fillId="0" borderId="16" xfId="0" applyFont="1" applyBorder="1" applyProtection="1">
      <protection hidden="1"/>
    </xf>
    <xf numFmtId="0" fontId="3" fillId="0" borderId="17" xfId="0" applyFont="1" applyBorder="1" applyProtection="1">
      <protection hidden="1"/>
    </xf>
    <xf numFmtId="14" fontId="3" fillId="2" borderId="18" xfId="0" applyNumberFormat="1" applyFont="1" applyFill="1" applyBorder="1" applyProtection="1">
      <protection locked="0" hidden="1"/>
    </xf>
    <xf numFmtId="0" fontId="10" fillId="0" borderId="0" xfId="0" applyFont="1"/>
    <xf numFmtId="14" fontId="0" fillId="0" borderId="0" xfId="0" applyNumberFormat="1"/>
    <xf numFmtId="166" fontId="0" fillId="0" borderId="0" xfId="2" applyNumberFormat="1" applyFont="1"/>
    <xf numFmtId="166" fontId="0" fillId="4" borderId="0" xfId="2" applyNumberFormat="1" applyFont="1" applyFill="1"/>
    <xf numFmtId="9" fontId="0" fillId="0" borderId="0" xfId="0" applyNumberFormat="1"/>
    <xf numFmtId="10" fontId="0" fillId="0" borderId="0" xfId="0" applyNumberFormat="1"/>
    <xf numFmtId="14" fontId="0" fillId="0" borderId="0" xfId="0" applyNumberFormat="1" applyAlignment="1"/>
    <xf numFmtId="14" fontId="0" fillId="4" borderId="0" xfId="0" applyNumberFormat="1" applyFill="1"/>
    <xf numFmtId="0" fontId="0" fillId="4" borderId="0" xfId="0" applyFill="1"/>
    <xf numFmtId="9" fontId="0" fillId="4" borderId="0" xfId="2" applyFont="1" applyFill="1"/>
    <xf numFmtId="0" fontId="3" fillId="0" borderId="0" xfId="0" applyFont="1" applyFill="1" applyAlignment="1" applyProtection="1">
      <alignment horizontal="center"/>
      <protection hidden="1"/>
    </xf>
    <xf numFmtId="14" fontId="3" fillId="0" borderId="0" xfId="0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10" fontId="3" fillId="0" borderId="2" xfId="2" applyNumberFormat="1" applyFont="1" applyFill="1" applyBorder="1" applyProtection="1">
      <protection hidden="1"/>
    </xf>
    <xf numFmtId="10" fontId="3" fillId="0" borderId="4" xfId="2" applyNumberFormat="1" applyFont="1" applyFill="1" applyBorder="1" applyProtection="1">
      <protection hidden="1"/>
    </xf>
    <xf numFmtId="0" fontId="11" fillId="0" borderId="0" xfId="0" applyFont="1" applyProtection="1">
      <protection hidden="1"/>
    </xf>
    <xf numFmtId="0" fontId="3" fillId="0" borderId="0" xfId="0" applyFont="1"/>
    <xf numFmtId="0" fontId="9" fillId="0" borderId="0" xfId="0" applyFont="1"/>
    <xf numFmtId="0" fontId="11" fillId="0" borderId="0" xfId="0" applyFont="1"/>
    <xf numFmtId="0" fontId="2" fillId="0" borderId="0" xfId="0" applyFont="1" applyAlignment="1">
      <alignment horizontal="justify" vertical="center"/>
    </xf>
    <xf numFmtId="0" fontId="7" fillId="0" borderId="0" xfId="0" applyFont="1" applyAlignment="1">
      <alignment horizontal="left"/>
    </xf>
    <xf numFmtId="0" fontId="3" fillId="0" borderId="5" xfId="0" applyFont="1" applyBorder="1"/>
    <xf numFmtId="0" fontId="3" fillId="0" borderId="9" xfId="0" applyFont="1" applyBorder="1"/>
    <xf numFmtId="14" fontId="3" fillId="2" borderId="1" xfId="0" applyNumberFormat="1" applyFont="1" applyFill="1" applyBorder="1"/>
    <xf numFmtId="0" fontId="3" fillId="0" borderId="6" xfId="0" applyFont="1" applyBorder="1"/>
    <xf numFmtId="0" fontId="3" fillId="0" borderId="10" xfId="0" applyFont="1" applyBorder="1"/>
    <xf numFmtId="14" fontId="3" fillId="2" borderId="2" xfId="0" applyNumberFormat="1" applyFont="1" applyFill="1" applyBorder="1"/>
    <xf numFmtId="165" fontId="8" fillId="0" borderId="0" xfId="0" applyNumberFormat="1" applyFont="1" applyAlignment="1">
      <alignment horizontal="left"/>
    </xf>
    <xf numFmtId="2" fontId="3" fillId="0" borderId="2" xfId="0" applyNumberFormat="1" applyFont="1" applyBorder="1"/>
    <xf numFmtId="0" fontId="8" fillId="0" borderId="0" xfId="0" applyFont="1" applyAlignment="1">
      <alignment horizontal="left"/>
    </xf>
    <xf numFmtId="0" fontId="3" fillId="0" borderId="7" xfId="0" applyFont="1" applyBorder="1"/>
    <xf numFmtId="0" fontId="3" fillId="0" borderId="11" xfId="0" applyFont="1" applyBorder="1"/>
    <xf numFmtId="10" fontId="3" fillId="2" borderId="3" xfId="0" applyNumberFormat="1" applyFont="1" applyFill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64" fontId="3" fillId="2" borderId="1" xfId="1" applyFont="1" applyFill="1" applyBorder="1"/>
    <xf numFmtId="10" fontId="3" fillId="0" borderId="2" xfId="2" applyNumberFormat="1" applyFont="1" applyBorder="1"/>
    <xf numFmtId="0" fontId="12" fillId="0" borderId="0" xfId="0" applyFont="1"/>
    <xf numFmtId="0" fontId="3" fillId="0" borderId="8" xfId="0" applyFont="1" applyBorder="1"/>
    <xf numFmtId="0" fontId="3" fillId="0" borderId="12" xfId="0" applyFont="1" applyBorder="1"/>
    <xf numFmtId="10" fontId="3" fillId="0" borderId="4" xfId="2" applyNumberFormat="1" applyFont="1" applyBorder="1"/>
    <xf numFmtId="2" fontId="7" fillId="0" borderId="0" xfId="0" applyNumberFormat="1" applyFont="1" applyAlignment="1">
      <alignment horizontal="left"/>
    </xf>
    <xf numFmtId="10" fontId="3" fillId="0" borderId="3" xfId="2" applyNumberFormat="1" applyFont="1" applyBorder="1"/>
    <xf numFmtId="4" fontId="7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4" fillId="3" borderId="5" xfId="0" applyFont="1" applyFill="1" applyBorder="1"/>
    <xf numFmtId="0" fontId="4" fillId="3" borderId="9" xfId="0" applyFont="1" applyFill="1" applyBorder="1"/>
    <xf numFmtId="164" fontId="4" fillId="3" borderId="1" xfId="1" applyFont="1" applyFill="1" applyBorder="1"/>
    <xf numFmtId="0" fontId="5" fillId="3" borderId="6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164" fontId="5" fillId="3" borderId="2" xfId="1" applyFont="1" applyFill="1" applyBorder="1"/>
    <xf numFmtId="164" fontId="8" fillId="0" borderId="0" xfId="0" applyNumberFormat="1" applyFont="1" applyAlignment="1">
      <alignment horizontal="left"/>
    </xf>
    <xf numFmtId="9" fontId="7" fillId="0" borderId="0" xfId="2" applyFont="1" applyAlignment="1">
      <alignment horizontal="left"/>
    </xf>
    <xf numFmtId="0" fontId="5" fillId="3" borderId="8" xfId="0" applyFont="1" applyFill="1" applyBorder="1" applyAlignment="1">
      <alignment horizontal="right"/>
    </xf>
    <xf numFmtId="0" fontId="5" fillId="3" borderId="12" xfId="0" applyFont="1" applyFill="1" applyBorder="1" applyAlignment="1">
      <alignment horizontal="right"/>
    </xf>
    <xf numFmtId="164" fontId="5" fillId="3" borderId="4" xfId="1" applyFont="1" applyFill="1" applyBorder="1"/>
    <xf numFmtId="0" fontId="5" fillId="3" borderId="7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164" fontId="5" fillId="3" borderId="3" xfId="1" applyFont="1" applyFill="1" applyBorder="1"/>
    <xf numFmtId="14" fontId="3" fillId="2" borderId="0" xfId="0" applyNumberFormat="1" applyFont="1" applyFill="1" applyProtection="1">
      <protection locked="0"/>
    </xf>
    <xf numFmtId="0" fontId="12" fillId="5" borderId="0" xfId="0" applyFont="1" applyFill="1"/>
    <xf numFmtId="0" fontId="13" fillId="5" borderId="0" xfId="0" applyFont="1" applyFill="1"/>
    <xf numFmtId="10" fontId="0" fillId="0" borderId="0" xfId="3" applyNumberFormat="1" applyFont="1"/>
    <xf numFmtId="0" fontId="3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justify" vertical="center"/>
    </xf>
    <xf numFmtId="0" fontId="7" fillId="5" borderId="0" xfId="0" applyFont="1" applyFill="1" applyAlignment="1">
      <alignment horizontal="left"/>
    </xf>
    <xf numFmtId="0" fontId="3" fillId="5" borderId="5" xfId="0" applyFont="1" applyFill="1" applyBorder="1"/>
    <xf numFmtId="0" fontId="3" fillId="5" borderId="9" xfId="0" applyFont="1" applyFill="1" applyBorder="1"/>
    <xf numFmtId="166" fontId="0" fillId="0" borderId="0" xfId="2" applyNumberFormat="1" applyFont="1" applyFill="1"/>
    <xf numFmtId="0" fontId="14" fillId="0" borderId="0" xfId="0" applyFont="1" applyProtection="1">
      <protection hidden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28575</xdr:rowOff>
    </xdr:from>
    <xdr:to>
      <xdr:col>8</xdr:col>
      <xdr:colOff>3562350</xdr:colOff>
      <xdr:row>5</xdr:row>
      <xdr:rowOff>36195</xdr:rowOff>
    </xdr:to>
    <xdr:pic>
      <xdr:nvPicPr>
        <xdr:cNvPr id="3" name="Image 2" descr="Cap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523875"/>
          <a:ext cx="3562350" cy="683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38100</xdr:colOff>
      <xdr:row>10</xdr:row>
      <xdr:rowOff>47625</xdr:rowOff>
    </xdr:from>
    <xdr:to>
      <xdr:col>8</xdr:col>
      <xdr:colOff>3133043</xdr:colOff>
      <xdr:row>25</xdr:row>
      <xdr:rowOff>18669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B6C6E-D7F8-4AB6-B925-F5398BF5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2305050"/>
          <a:ext cx="5380943" cy="30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3</xdr:col>
      <xdr:colOff>495300</xdr:colOff>
      <xdr:row>10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778F011-4932-4EEC-B8EA-7B64EFAC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28800"/>
          <a:ext cx="457200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2</xdr:row>
      <xdr:rowOff>28575</xdr:rowOff>
    </xdr:from>
    <xdr:to>
      <xdr:col>8</xdr:col>
      <xdr:colOff>3562350</xdr:colOff>
      <xdr:row>5</xdr:row>
      <xdr:rowOff>36195</xdr:rowOff>
    </xdr:to>
    <xdr:pic>
      <xdr:nvPicPr>
        <xdr:cNvPr id="3" name="Image 2" descr="Capture">
          <a:extLst>
            <a:ext uri="{FF2B5EF4-FFF2-40B4-BE49-F238E27FC236}">
              <a16:creationId xmlns:a16="http://schemas.microsoft.com/office/drawing/2014/main" id="{9E59056F-42D7-409A-BD39-52D60E2297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1700" y="523875"/>
          <a:ext cx="3562350" cy="6743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28575</xdr:rowOff>
    </xdr:from>
    <xdr:to>
      <xdr:col>8</xdr:col>
      <xdr:colOff>3562350</xdr:colOff>
      <xdr:row>5</xdr:row>
      <xdr:rowOff>36195</xdr:rowOff>
    </xdr:to>
    <xdr:pic>
      <xdr:nvPicPr>
        <xdr:cNvPr id="2" name="Image 2" descr="Capture">
          <a:extLst>
            <a:ext uri="{FF2B5EF4-FFF2-40B4-BE49-F238E27FC236}">
              <a16:creationId xmlns:a16="http://schemas.microsoft.com/office/drawing/2014/main" id="{ABA1E6E3-8485-46FF-9149-BD48EAC0A28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523875"/>
          <a:ext cx="3562350" cy="683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28575</xdr:colOff>
      <xdr:row>8</xdr:row>
      <xdr:rowOff>38100</xdr:rowOff>
    </xdr:from>
    <xdr:to>
      <xdr:col>9</xdr:col>
      <xdr:colOff>246705</xdr:colOff>
      <xdr:row>26</xdr:row>
      <xdr:rowOff>9068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ECD7A9-2A64-4048-B313-C93898C9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25" y="1885950"/>
          <a:ext cx="6142680" cy="3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showGridLines="0" tabSelected="1" workbookViewId="0">
      <selection activeCell="D8" sqref="D8"/>
    </sheetView>
  </sheetViews>
  <sheetFormatPr defaultColWidth="0" defaultRowHeight="15.75" zeroHeight="1" x14ac:dyDescent="0.25"/>
  <cols>
    <col min="1" max="1" width="2.42578125" style="1" customWidth="1"/>
    <col min="2" max="2" width="33.5703125" style="1" customWidth="1"/>
    <col min="3" max="3" width="23.85546875" style="1" customWidth="1"/>
    <col min="4" max="4" width="30.85546875" style="1" customWidth="1"/>
    <col min="5" max="5" width="10.140625" style="1" customWidth="1"/>
    <col min="6" max="8" width="11.42578125" style="1" customWidth="1"/>
    <col min="9" max="9" width="54.5703125" style="1" customWidth="1"/>
    <col min="10" max="10" width="5.5703125" style="1" customWidth="1"/>
    <col min="11" max="11" width="0" style="1" hidden="1" customWidth="1"/>
    <col min="12" max="16384" width="11.42578125" style="1" hidden="1"/>
  </cols>
  <sheetData>
    <row r="1" spans="2:9" x14ac:dyDescent="0.25"/>
    <row r="2" spans="2:9" ht="23.25" x14ac:dyDescent="0.35">
      <c r="B2" s="2" t="s">
        <v>7</v>
      </c>
    </row>
    <row r="3" spans="2:9" x14ac:dyDescent="0.25"/>
    <row r="4" spans="2:9" ht="18.75" x14ac:dyDescent="0.3">
      <c r="B4" s="3" t="s">
        <v>8</v>
      </c>
      <c r="C4" s="61" t="s">
        <v>44</v>
      </c>
      <c r="D4" s="4"/>
    </row>
    <row r="5" spans="2:9" ht="18.75" x14ac:dyDescent="0.3">
      <c r="B5" s="3" t="s">
        <v>9</v>
      </c>
      <c r="C5" s="59">
        <v>4081</v>
      </c>
      <c r="D5" s="64"/>
    </row>
    <row r="6" spans="2:9" ht="18.75" x14ac:dyDescent="0.3">
      <c r="B6" s="3"/>
      <c r="C6" s="60"/>
    </row>
    <row r="7" spans="2:9" ht="18.75" x14ac:dyDescent="0.3">
      <c r="B7" s="3" t="s">
        <v>19</v>
      </c>
      <c r="C7" s="61">
        <v>78</v>
      </c>
    </row>
    <row r="8" spans="2:9" x14ac:dyDescent="0.25"/>
    <row r="9" spans="2:9" x14ac:dyDescent="0.25">
      <c r="E9" s="6"/>
      <c r="F9" s="6"/>
      <c r="H9" s="5"/>
      <c r="I9" s="5"/>
    </row>
    <row r="10" spans="2:9" ht="16.5" thickBot="1" x14ac:dyDescent="0.3">
      <c r="E10" s="6"/>
      <c r="F10" s="6"/>
      <c r="H10" s="5"/>
      <c r="I10" s="5"/>
    </row>
    <row r="11" spans="2:9" ht="16.5" thickBot="1" x14ac:dyDescent="0.3">
      <c r="B11" s="46" t="s">
        <v>20</v>
      </c>
      <c r="C11" s="47"/>
      <c r="D11" s="48" t="s">
        <v>23</v>
      </c>
      <c r="E11" s="6"/>
      <c r="F11" s="6"/>
      <c r="H11" s="5"/>
      <c r="I11" s="5"/>
    </row>
    <row r="12" spans="2:9" ht="16.5" thickBot="1" x14ac:dyDescent="0.3">
      <c r="D12" s="64" t="str">
        <f>IF(D13&lt;C6,"Cambiare File di rimborsamento","")</f>
        <v/>
      </c>
      <c r="E12" s="6"/>
      <c r="F12" s="6"/>
      <c r="H12" s="5"/>
      <c r="I12" s="5"/>
    </row>
    <row r="13" spans="2:9" x14ac:dyDescent="0.25">
      <c r="B13" s="7" t="s">
        <v>0</v>
      </c>
      <c r="C13" s="8"/>
      <c r="D13" s="9">
        <v>43466</v>
      </c>
      <c r="E13" s="6"/>
      <c r="F13" s="6"/>
      <c r="H13" s="5"/>
      <c r="I13" s="5"/>
    </row>
    <row r="14" spans="2:9" x14ac:dyDescent="0.25">
      <c r="B14" s="10" t="s">
        <v>1</v>
      </c>
      <c r="C14" s="11"/>
      <c r="D14" s="12">
        <v>44562</v>
      </c>
      <c r="E14" s="13"/>
      <c r="F14" s="6"/>
    </row>
    <row r="15" spans="2:9" ht="16.5" thickBot="1" x14ac:dyDescent="0.3">
      <c r="B15" s="14" t="s">
        <v>2</v>
      </c>
      <c r="C15" s="15"/>
      <c r="D15" s="16">
        <f>ROUND((DATEDIF(D13,D14,"d")/365.25)*12,0)</f>
        <v>36</v>
      </c>
      <c r="E15" s="17" t="s">
        <v>12</v>
      </c>
      <c r="F15" s="6"/>
    </row>
    <row r="16" spans="2:9" x14ac:dyDescent="0.25">
      <c r="C16" s="18"/>
      <c r="E16" s="17"/>
      <c r="F16" s="6"/>
    </row>
    <row r="17" spans="2:6" ht="16.5" thickBot="1" x14ac:dyDescent="0.3">
      <c r="B17" s="19"/>
      <c r="C17" s="19"/>
      <c r="D17" s="19"/>
      <c r="E17" s="17"/>
      <c r="F17" s="6"/>
    </row>
    <row r="18" spans="2:6" x14ac:dyDescent="0.25">
      <c r="B18" s="20" t="s">
        <v>16</v>
      </c>
      <c r="C18" s="21"/>
      <c r="D18" s="22">
        <v>1000</v>
      </c>
      <c r="E18" s="17" t="s">
        <v>42</v>
      </c>
      <c r="F18" s="6"/>
    </row>
    <row r="19" spans="2:6" x14ac:dyDescent="0.25">
      <c r="B19" s="10" t="s">
        <v>41</v>
      </c>
      <c r="C19" s="11"/>
      <c r="D19" s="62">
        <v>0.08</v>
      </c>
      <c r="E19" s="17"/>
      <c r="F19" s="23"/>
    </row>
    <row r="20" spans="2:6" x14ac:dyDescent="0.25">
      <c r="B20" s="24" t="s">
        <v>17</v>
      </c>
      <c r="C20" s="25"/>
      <c r="D20" s="63">
        <v>0.08</v>
      </c>
      <c r="E20" s="17"/>
      <c r="F20" s="23"/>
    </row>
    <row r="21" spans="2:6" ht="16.5" thickBot="1" x14ac:dyDescent="0.3">
      <c r="B21" s="14" t="s">
        <v>26</v>
      </c>
      <c r="C21" s="15"/>
      <c r="D21" s="26">
        <f>+SUM(D19:D20)</f>
        <v>0.16</v>
      </c>
      <c r="E21" s="17" t="s">
        <v>14</v>
      </c>
      <c r="F21" s="27"/>
    </row>
    <row r="22" spans="2:6" ht="16.5" thickBot="1" x14ac:dyDescent="0.3">
      <c r="C22" s="18"/>
      <c r="E22" s="17"/>
      <c r="F22" s="28"/>
    </row>
    <row r="23" spans="2:6" x14ac:dyDescent="0.25">
      <c r="B23" s="7" t="s">
        <v>3</v>
      </c>
      <c r="C23" s="8"/>
      <c r="D23" s="9">
        <v>44352</v>
      </c>
      <c r="E23" s="17"/>
      <c r="F23" s="6"/>
    </row>
    <row r="24" spans="2:6" ht="16.5" thickBot="1" x14ac:dyDescent="0.3">
      <c r="B24" s="14" t="s">
        <v>4</v>
      </c>
      <c r="C24" s="15"/>
      <c r="D24" s="16">
        <f>ROUND((DATEDIF(D13,D23,"d")/365.25)*12,0)</f>
        <v>29</v>
      </c>
      <c r="E24" s="17" t="s">
        <v>15</v>
      </c>
      <c r="F24" s="6"/>
    </row>
    <row r="25" spans="2:6" ht="16.5" thickBot="1" x14ac:dyDescent="0.3">
      <c r="C25" s="18"/>
      <c r="D25" s="29"/>
      <c r="E25" s="17"/>
      <c r="F25" s="6"/>
    </row>
    <row r="26" spans="2:6" x14ac:dyDescent="0.25">
      <c r="B26" s="30" t="s">
        <v>10</v>
      </c>
      <c r="C26" s="31"/>
      <c r="D26" s="32">
        <f>+MAX(SUM(D29:D30)+D27-D31,0)</f>
        <v>36.426426426426431</v>
      </c>
      <c r="E26" s="17" t="s">
        <v>28</v>
      </c>
      <c r="F26" s="6"/>
    </row>
    <row r="27" spans="2:6" ht="16.350000000000001" customHeight="1" x14ac:dyDescent="0.25">
      <c r="B27" s="33" t="s">
        <v>5</v>
      </c>
      <c r="C27" s="34"/>
      <c r="D27" s="35">
        <f>+D18*(1-D21)*((D15-D24)*(D15-D24+1))/(D15*(D15+1))</f>
        <v>35.315315315315317</v>
      </c>
      <c r="E27" s="36"/>
      <c r="F27" s="37"/>
    </row>
    <row r="28" spans="2:6" x14ac:dyDescent="0.25">
      <c r="B28" s="33" t="s">
        <v>26</v>
      </c>
      <c r="C28" s="34"/>
      <c r="D28" s="35">
        <f>+D29+D30</f>
        <v>31.111111111111111</v>
      </c>
      <c r="E28" s="36"/>
      <c r="F28" s="37"/>
    </row>
    <row r="29" spans="2:6" x14ac:dyDescent="0.25">
      <c r="B29" s="33"/>
      <c r="C29" s="34" t="s">
        <v>41</v>
      </c>
      <c r="D29" s="35">
        <f>+D18*D19*((D15-D24)/D15)</f>
        <v>15.555555555555555</v>
      </c>
      <c r="E29" s="17"/>
    </row>
    <row r="30" spans="2:6" x14ac:dyDescent="0.25">
      <c r="B30" s="39"/>
      <c r="C30" s="40" t="s">
        <v>17</v>
      </c>
      <c r="D30" s="41">
        <f>+D18*D20*((D15-D24)/D15)</f>
        <v>15.555555555555555</v>
      </c>
      <c r="E30" s="17"/>
      <c r="F30" s="6"/>
    </row>
    <row r="31" spans="2:6" ht="16.5" thickBot="1" x14ac:dyDescent="0.3">
      <c r="B31" s="42" t="s">
        <v>11</v>
      </c>
      <c r="C31" s="43"/>
      <c r="D31" s="44">
        <f>MAX(30,5%*(D27+D29+D30))</f>
        <v>30</v>
      </c>
      <c r="E31" s="17" t="s">
        <v>27</v>
      </c>
      <c r="F31" s="6"/>
    </row>
    <row r="32" spans="2:6" x14ac:dyDescent="0.25">
      <c r="E32" s="6"/>
      <c r="F32" s="6"/>
    </row>
    <row r="33" spans="2:6" x14ac:dyDescent="0.25">
      <c r="B33" s="45"/>
      <c r="C33" s="45" t="s">
        <v>6</v>
      </c>
      <c r="E33" s="6"/>
      <c r="F33" s="6"/>
    </row>
    <row r="34" spans="2:6" x14ac:dyDescent="0.25"/>
    <row r="35" spans="2:6" x14ac:dyDescent="0.25">
      <c r="E35" s="122" t="s">
        <v>39</v>
      </c>
    </row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x14ac:dyDescent="0.25"/>
  </sheetData>
  <sheetProtection algorithmName="SHA-512" hashValue="3t2Bh3EQSw7nLQy36LQ4C5esecpFxj0ReJlapicLlGRFZN+buN5/5E2MJGo7Gqj2YzDw5aEsOsY3E1InoS4H+Q==" saltValue="395v1MzrSURNLDegB5Jiow==" spinCount="100000" sheet="1" objects="1" scenarios="1"/>
  <protectedRanges>
    <protectedRange sqref="D11 D13 D14 D18 D23" name="Range1"/>
  </protectedRanges>
  <pageMargins left="0.7" right="0.7" top="0.75" bottom="0.75" header="0.3" footer="0.3"/>
  <pageSetup paperSize="9" orientation="portrait" r:id="rId1"/>
  <headerFooter>
    <oddFooter>&amp;C&amp;1#&amp;"Calibri"&amp;10&amp;K000000Internal</oddFooter>
  </headerFooter>
  <ignoredErrors>
    <ignoredError sqref="D21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Feuil1!$B$5:$B$8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78A2-097D-43BD-8EE3-59EFDC285283}">
  <dimension ref="A1:L56"/>
  <sheetViews>
    <sheetView showGridLines="0" workbookViewId="0">
      <selection activeCell="G28" sqref="G28"/>
    </sheetView>
  </sheetViews>
  <sheetFormatPr defaultColWidth="0" defaultRowHeight="0" customHeight="1" zeroHeight="1" x14ac:dyDescent="0.25"/>
  <cols>
    <col min="1" max="1" width="2.42578125" style="65" customWidth="1"/>
    <col min="2" max="2" width="33.5703125" style="65" customWidth="1"/>
    <col min="3" max="3" width="24.85546875" style="87" customWidth="1"/>
    <col min="4" max="4" width="15" style="87" customWidth="1"/>
    <col min="5" max="5" width="11.85546875" style="87" bestFit="1" customWidth="1"/>
    <col min="6" max="8" width="11.42578125" style="65" customWidth="1"/>
    <col min="9" max="9" width="54.5703125" style="65" customWidth="1"/>
    <col min="10" max="10" width="5.5703125" style="65" customWidth="1"/>
    <col min="11" max="11" width="0" style="65" hidden="1" customWidth="1"/>
    <col min="12" max="16384" width="11.42578125" style="65" hidden="1"/>
  </cols>
  <sheetData>
    <row r="1" spans="1:12" ht="15.75" x14ac:dyDescent="0.25">
      <c r="C1" s="65"/>
      <c r="D1" s="65"/>
      <c r="E1" s="65"/>
    </row>
    <row r="2" spans="1:12" ht="23.25" x14ac:dyDescent="0.35">
      <c r="B2" s="66" t="s">
        <v>7</v>
      </c>
      <c r="C2" s="65"/>
      <c r="D2" s="65"/>
      <c r="E2" s="65"/>
    </row>
    <row r="3" spans="1:12" ht="15.75" x14ac:dyDescent="0.25">
      <c r="C3" s="65"/>
      <c r="D3" s="65"/>
      <c r="E3" s="65"/>
    </row>
    <row r="4" spans="1:12" ht="18.75" x14ac:dyDescent="0.3">
      <c r="B4" s="3" t="s">
        <v>8</v>
      </c>
      <c r="C4" s="61" t="s">
        <v>40</v>
      </c>
      <c r="D4" s="65"/>
      <c r="E4" s="65"/>
    </row>
    <row r="5" spans="1:12" ht="18.75" x14ac:dyDescent="0.3">
      <c r="B5" s="3" t="s">
        <v>9</v>
      </c>
      <c r="C5" s="61">
        <v>8324</v>
      </c>
      <c r="D5" s="65"/>
      <c r="E5" s="67" t="s">
        <v>30</v>
      </c>
    </row>
    <row r="6" spans="1:12" ht="18.75" x14ac:dyDescent="0.3">
      <c r="B6" s="3"/>
      <c r="C6" s="60"/>
      <c r="D6" s="65"/>
      <c r="E6" s="65"/>
    </row>
    <row r="7" spans="1:12" ht="18.75" x14ac:dyDescent="0.3">
      <c r="B7" s="3"/>
      <c r="C7" s="61"/>
      <c r="D7" s="65"/>
      <c r="E7" s="65"/>
    </row>
    <row r="8" spans="1:12" ht="15.75" x14ac:dyDescent="0.25">
      <c r="C8" s="65"/>
      <c r="D8" s="65"/>
      <c r="E8" s="65"/>
    </row>
    <row r="9" spans="1:12" ht="15.75" x14ac:dyDescent="0.25">
      <c r="C9" s="65"/>
      <c r="D9" s="65"/>
      <c r="E9" s="65"/>
      <c r="H9" s="68"/>
      <c r="I9" s="68"/>
    </row>
    <row r="10" spans="1:12" ht="15.75" x14ac:dyDescent="0.25">
      <c r="C10" s="65"/>
      <c r="D10" s="65"/>
      <c r="E10" s="65"/>
      <c r="H10" s="68"/>
      <c r="I10" s="68"/>
    </row>
    <row r="11" spans="1:12" ht="16.5" thickBot="1" x14ac:dyDescent="0.3">
      <c r="C11" s="65"/>
      <c r="D11" s="65"/>
      <c r="E11" s="69"/>
      <c r="F11" s="69"/>
      <c r="H11" s="68"/>
      <c r="I11" s="68"/>
    </row>
    <row r="12" spans="1:12" customFormat="1" ht="16.5" thickBot="1" x14ac:dyDescent="0.3">
      <c r="A12" s="65"/>
      <c r="B12" s="119" t="s">
        <v>20</v>
      </c>
      <c r="C12" s="120"/>
      <c r="D12" s="48" t="s">
        <v>24</v>
      </c>
      <c r="E12" s="118"/>
      <c r="F12" s="115"/>
      <c r="G12" s="117"/>
      <c r="H12" s="117"/>
      <c r="I12" s="115"/>
      <c r="J12" s="116"/>
      <c r="K12" s="116"/>
      <c r="L12" s="116"/>
    </row>
    <row r="13" spans="1:12" ht="16.5" thickBot="1" x14ac:dyDescent="0.3">
      <c r="C13" s="65"/>
      <c r="D13" s="65"/>
      <c r="E13" s="69"/>
      <c r="F13" s="69"/>
      <c r="H13" s="68"/>
      <c r="I13" s="68"/>
    </row>
    <row r="14" spans="1:12" ht="15.75" x14ac:dyDescent="0.25">
      <c r="B14" s="70" t="s">
        <v>0</v>
      </c>
      <c r="C14" s="71"/>
      <c r="D14" s="72">
        <v>43101</v>
      </c>
      <c r="E14" s="69"/>
      <c r="F14" s="69"/>
      <c r="H14" s="68"/>
      <c r="I14" s="68"/>
    </row>
    <row r="15" spans="1:12" ht="15.75" x14ac:dyDescent="0.25">
      <c r="B15" s="73" t="s">
        <v>1</v>
      </c>
      <c r="C15" s="74"/>
      <c r="D15" s="75">
        <v>43831</v>
      </c>
      <c r="E15" s="76"/>
      <c r="F15" s="69"/>
    </row>
    <row r="16" spans="1:12" ht="15.75" x14ac:dyDescent="0.25">
      <c r="B16" s="73" t="s">
        <v>2</v>
      </c>
      <c r="C16" s="74"/>
      <c r="D16" s="77">
        <f>ROUND((DATEDIF(D14,D15,"d")/365.25)*12,0)</f>
        <v>24</v>
      </c>
      <c r="E16" s="78" t="s">
        <v>12</v>
      </c>
      <c r="F16" s="69"/>
    </row>
    <row r="17" spans="2:6" ht="16.5" thickBot="1" x14ac:dyDescent="0.3">
      <c r="B17" s="79" t="s">
        <v>31</v>
      </c>
      <c r="C17" s="80"/>
      <c r="D17" s="81">
        <v>0.1</v>
      </c>
      <c r="E17" s="78" t="s">
        <v>32</v>
      </c>
      <c r="F17" s="69"/>
    </row>
    <row r="18" spans="2:6" ht="15.75" x14ac:dyDescent="0.25">
      <c r="C18" s="65"/>
      <c r="D18" s="65"/>
      <c r="E18" s="78"/>
      <c r="F18" s="69"/>
    </row>
    <row r="19" spans="2:6" ht="15.75" x14ac:dyDescent="0.25">
      <c r="B19" s="78"/>
      <c r="C19" s="78"/>
      <c r="D19" s="78"/>
      <c r="E19" s="78"/>
      <c r="F19" s="69"/>
    </row>
    <row r="20" spans="2:6" ht="16.5" thickBot="1" x14ac:dyDescent="0.3">
      <c r="B20" s="82"/>
      <c r="C20" s="82"/>
      <c r="D20" s="82"/>
      <c r="E20" s="78"/>
      <c r="F20" s="69"/>
    </row>
    <row r="21" spans="2:6" ht="15.75" x14ac:dyDescent="0.25">
      <c r="B21" s="83" t="s">
        <v>16</v>
      </c>
      <c r="C21" s="84"/>
      <c r="D21" s="85">
        <v>1000</v>
      </c>
      <c r="E21" s="78" t="s">
        <v>13</v>
      </c>
      <c r="F21" s="69"/>
    </row>
    <row r="22" spans="2:6" ht="15.75" x14ac:dyDescent="0.25">
      <c r="B22" s="73" t="s">
        <v>18</v>
      </c>
      <c r="C22" s="74"/>
      <c r="D22" s="86">
        <v>0.11</v>
      </c>
      <c r="F22" s="69"/>
    </row>
    <row r="23" spans="2:6" ht="15.75" x14ac:dyDescent="0.25">
      <c r="B23" s="88" t="s">
        <v>17</v>
      </c>
      <c r="C23" s="89"/>
      <c r="D23" s="90">
        <v>0.1</v>
      </c>
      <c r="E23" s="78"/>
      <c r="F23" s="91"/>
    </row>
    <row r="24" spans="2:6" ht="16.5" thickBot="1" x14ac:dyDescent="0.3">
      <c r="B24" s="79" t="s">
        <v>33</v>
      </c>
      <c r="C24" s="80"/>
      <c r="D24" s="92">
        <f>+SUM(D22:D23)</f>
        <v>0.21000000000000002</v>
      </c>
      <c r="E24" s="78" t="s">
        <v>14</v>
      </c>
      <c r="F24" s="91"/>
    </row>
    <row r="25" spans="2:6" ht="16.5" thickBot="1" x14ac:dyDescent="0.3">
      <c r="C25" s="65"/>
      <c r="D25" s="65"/>
      <c r="F25" s="93"/>
    </row>
    <row r="26" spans="2:6" ht="15.75" x14ac:dyDescent="0.25">
      <c r="B26" s="70" t="s">
        <v>3</v>
      </c>
      <c r="C26" s="71"/>
      <c r="D26" s="72">
        <v>43466</v>
      </c>
      <c r="E26" s="78"/>
      <c r="F26" s="94"/>
    </row>
    <row r="27" spans="2:6" ht="16.5" thickBot="1" x14ac:dyDescent="0.3">
      <c r="B27" s="79" t="s">
        <v>4</v>
      </c>
      <c r="C27" s="80"/>
      <c r="D27" s="95">
        <f>ROUND((DATEDIF(D14,D26,"d")/365.25)*12,0)</f>
        <v>12</v>
      </c>
      <c r="E27" s="78" t="s">
        <v>15</v>
      </c>
      <c r="F27" s="69"/>
    </row>
    <row r="28" spans="2:6" ht="16.5" thickBot="1" x14ac:dyDescent="0.3">
      <c r="C28" s="65"/>
      <c r="D28" s="96"/>
      <c r="F28" s="69"/>
    </row>
    <row r="29" spans="2:6" ht="15.75" x14ac:dyDescent="0.25">
      <c r="B29" s="97" t="s">
        <v>10</v>
      </c>
      <c r="C29" s="98"/>
      <c r="D29" s="99">
        <f>MAX(SUM(D30,D32,D33,(-D34)),0)</f>
        <v>262.32596209411025</v>
      </c>
      <c r="E29" s="78" t="s">
        <v>34</v>
      </c>
      <c r="F29" s="69"/>
    </row>
    <row r="30" spans="2:6" ht="15.75" x14ac:dyDescent="0.25">
      <c r="B30" s="100" t="s">
        <v>5</v>
      </c>
      <c r="C30" s="101"/>
      <c r="D30" s="102">
        <f>+D21*(1-D24)*((D16-D27)/D16)*(1-(1+D17/12)^-(D16-D27))/(1-(1+D17/12)^-D16)</f>
        <v>207.32596209411025</v>
      </c>
      <c r="F30" s="69"/>
    </row>
    <row r="31" spans="2:6" ht="15.75" x14ac:dyDescent="0.25">
      <c r="B31" s="100" t="s">
        <v>35</v>
      </c>
      <c r="C31" s="101"/>
      <c r="D31" s="102">
        <f>+D32+D33</f>
        <v>105</v>
      </c>
      <c r="F31" s="69"/>
    </row>
    <row r="32" spans="2:6" ht="15.75" x14ac:dyDescent="0.25">
      <c r="B32" s="100" t="s">
        <v>18</v>
      </c>
      <c r="C32" s="101"/>
      <c r="D32" s="102">
        <f>+D21*D22*((D16-D27)/D16)</f>
        <v>55</v>
      </c>
      <c r="E32" s="103"/>
      <c r="F32" s="104"/>
    </row>
    <row r="33" spans="2:6" ht="15.75" x14ac:dyDescent="0.25">
      <c r="B33" s="105" t="s">
        <v>17</v>
      </c>
      <c r="C33" s="106"/>
      <c r="D33" s="107">
        <f>+D21*D23*((D16-D27)/D16)</f>
        <v>50</v>
      </c>
      <c r="E33" s="78"/>
      <c r="F33" s="69"/>
    </row>
    <row r="34" spans="2:6" ht="16.5" thickBot="1" x14ac:dyDescent="0.3">
      <c r="B34" s="108" t="s">
        <v>11</v>
      </c>
      <c r="C34" s="109"/>
      <c r="D34" s="110">
        <v>50</v>
      </c>
      <c r="E34" s="78"/>
      <c r="F34" s="69"/>
    </row>
    <row r="35" spans="2:6" ht="15.75" x14ac:dyDescent="0.25">
      <c r="C35" s="65"/>
      <c r="D35" s="65"/>
      <c r="E35" s="69"/>
      <c r="F35" s="69"/>
    </row>
    <row r="36" spans="2:6" ht="15.75" x14ac:dyDescent="0.25">
      <c r="C36" s="65"/>
      <c r="D36" s="65"/>
      <c r="E36" s="69"/>
      <c r="F36" s="69"/>
    </row>
    <row r="37" spans="2:6" ht="15.75" x14ac:dyDescent="0.25">
      <c r="B37" s="111"/>
      <c r="C37" s="111" t="s">
        <v>6</v>
      </c>
      <c r="D37" s="65"/>
      <c r="E37" s="69"/>
      <c r="F37" s="69"/>
    </row>
    <row r="38" spans="2:6" ht="15.75" x14ac:dyDescent="0.25">
      <c r="D38" s="112"/>
      <c r="E38" s="65"/>
    </row>
    <row r="39" spans="2:6" ht="15.75" hidden="1" x14ac:dyDescent="0.25">
      <c r="D39" s="87" t="s">
        <v>24</v>
      </c>
    </row>
    <row r="40" spans="2:6" ht="15.75" hidden="1" x14ac:dyDescent="0.25">
      <c r="D40" s="112" t="s">
        <v>37</v>
      </c>
    </row>
    <row r="41" spans="2:6" ht="15.75" hidden="1" x14ac:dyDescent="0.25">
      <c r="D41" s="112" t="s">
        <v>23</v>
      </c>
    </row>
    <row r="42" spans="2:6" ht="15.75" hidden="1" x14ac:dyDescent="0.25">
      <c r="D42" s="112" t="s">
        <v>38</v>
      </c>
    </row>
    <row r="43" spans="2:6" ht="15.75" x14ac:dyDescent="0.25">
      <c r="D43" s="113" t="s">
        <v>23</v>
      </c>
    </row>
    <row r="44" spans="2:6" ht="15.75" customHeight="1" x14ac:dyDescent="0.25"/>
    <row r="45" spans="2:6" ht="15.75" customHeight="1" x14ac:dyDescent="0.25"/>
    <row r="46" spans="2:6" ht="15.75" customHeight="1" x14ac:dyDescent="0.25"/>
    <row r="47" spans="2:6" ht="15.75" hidden="1" customHeight="1" x14ac:dyDescent="0.25"/>
    <row r="48" spans="2:6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</sheetData>
  <protectedRanges>
    <protectedRange sqref="D14:D15 D17 D21 D26" name="Plage1"/>
  </protectedRanges>
  <dataValidations count="1">
    <dataValidation type="list" allowBlank="1" showInputMessage="1" showErrorMessage="1" sqref="D12" xr:uid="{58941DF9-181C-4639-A513-68AFBB5B5448}">
      <formula1>$D$39:$D$42</formula1>
    </dataValidation>
  </dataValidations>
  <pageMargins left="0.7" right="0.7" top="0.75" bottom="0.75" header="0.3" footer="0.3"/>
  <pageSetup paperSize="9" orientation="portrait" r:id="rId1"/>
  <headerFooter>
    <oddFooter>&amp;C&amp;1#&amp;"Calibri"&amp;10&amp;K000000Internal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8885-34D7-422C-885F-E9FD9623DBB0}">
  <dimension ref="A1:K49"/>
  <sheetViews>
    <sheetView showGridLines="0" workbookViewId="0">
      <selection activeCell="E3" sqref="E3"/>
    </sheetView>
  </sheetViews>
  <sheetFormatPr defaultColWidth="0" defaultRowHeight="15.75" customHeight="1" zeroHeight="1" x14ac:dyDescent="0.25"/>
  <cols>
    <col min="1" max="1" width="2.42578125" style="1" customWidth="1"/>
    <col min="2" max="2" width="33.5703125" style="1" customWidth="1"/>
    <col min="3" max="3" width="23.85546875" style="1" customWidth="1"/>
    <col min="4" max="4" width="30.85546875" style="1" customWidth="1"/>
    <col min="5" max="5" width="10.140625" style="1" customWidth="1"/>
    <col min="6" max="8" width="11.42578125" style="1" customWidth="1"/>
    <col min="9" max="9" width="54.5703125" style="1" customWidth="1"/>
    <col min="10" max="10" width="5.5703125" style="1" customWidth="1"/>
    <col min="11" max="11" width="0" style="1" hidden="1" customWidth="1"/>
    <col min="12" max="16384" width="11.42578125" style="1" hidden="1"/>
  </cols>
  <sheetData>
    <row r="1" spans="2:9" x14ac:dyDescent="0.25"/>
    <row r="2" spans="2:9" ht="23.25" x14ac:dyDescent="0.35">
      <c r="B2" s="2" t="s">
        <v>7</v>
      </c>
    </row>
    <row r="3" spans="2:9" x14ac:dyDescent="0.25"/>
    <row r="4" spans="2:9" ht="18.75" x14ac:dyDescent="0.3">
      <c r="B4" s="3" t="s">
        <v>8</v>
      </c>
      <c r="C4" s="61" t="s">
        <v>44</v>
      </c>
      <c r="D4" s="4"/>
    </row>
    <row r="5" spans="2:9" ht="18.75" x14ac:dyDescent="0.3">
      <c r="B5" s="3" t="s">
        <v>9</v>
      </c>
      <c r="C5" s="59">
        <v>8439</v>
      </c>
      <c r="D5" s="64"/>
    </row>
    <row r="6" spans="2:9" ht="18.75" x14ac:dyDescent="0.3">
      <c r="B6" s="3"/>
      <c r="C6" s="60"/>
      <c r="D6" s="122"/>
    </row>
    <row r="7" spans="2:9" ht="18.75" x14ac:dyDescent="0.3">
      <c r="B7" s="3" t="s">
        <v>19</v>
      </c>
      <c r="C7" s="61">
        <v>78</v>
      </c>
    </row>
    <row r="8" spans="2:9" x14ac:dyDescent="0.25"/>
    <row r="9" spans="2:9" x14ac:dyDescent="0.25">
      <c r="E9" s="6"/>
      <c r="F9" s="6"/>
      <c r="H9" s="5"/>
      <c r="I9" s="5"/>
    </row>
    <row r="10" spans="2:9" ht="16.5" thickBot="1" x14ac:dyDescent="0.3">
      <c r="E10" s="6"/>
      <c r="F10" s="6"/>
      <c r="H10" s="5"/>
      <c r="I10" s="5"/>
    </row>
    <row r="11" spans="2:9" ht="16.5" thickBot="1" x14ac:dyDescent="0.3">
      <c r="B11" s="46" t="s">
        <v>20</v>
      </c>
      <c r="C11" s="47"/>
      <c r="D11" s="48" t="s">
        <v>23</v>
      </c>
      <c r="E11" s="6"/>
      <c r="F11" s="6"/>
      <c r="H11" s="5"/>
      <c r="I11" s="5"/>
    </row>
    <row r="12" spans="2:9" ht="16.5" thickBot="1" x14ac:dyDescent="0.3">
      <c r="D12" s="64" t="str">
        <f>IF(D13&lt;C6,"Cambiare File di rimborsamento","")</f>
        <v/>
      </c>
      <c r="E12" s="6"/>
      <c r="F12" s="6"/>
      <c r="H12" s="5"/>
      <c r="I12" s="5"/>
    </row>
    <row r="13" spans="2:9" x14ac:dyDescent="0.25">
      <c r="B13" s="7" t="s">
        <v>0</v>
      </c>
      <c r="C13" s="8"/>
      <c r="D13" s="9">
        <v>43497</v>
      </c>
      <c r="E13" s="6"/>
      <c r="F13" s="6"/>
      <c r="H13" s="5"/>
      <c r="I13" s="5"/>
    </row>
    <row r="14" spans="2:9" x14ac:dyDescent="0.25">
      <c r="B14" s="10" t="s">
        <v>1</v>
      </c>
      <c r="C14" s="11"/>
      <c r="D14" s="12">
        <v>44562</v>
      </c>
      <c r="E14" s="13"/>
      <c r="F14" s="6"/>
    </row>
    <row r="15" spans="2:9" ht="16.5" thickBot="1" x14ac:dyDescent="0.3">
      <c r="B15" s="14" t="s">
        <v>2</v>
      </c>
      <c r="C15" s="15"/>
      <c r="D15" s="16">
        <f>ROUND((DATEDIF(D13,D14,"d")/365.25)*12,0)</f>
        <v>35</v>
      </c>
      <c r="E15" s="17" t="s">
        <v>12</v>
      </c>
      <c r="F15" s="6"/>
    </row>
    <row r="16" spans="2:9" x14ac:dyDescent="0.25">
      <c r="C16" s="18"/>
      <c r="E16" s="17"/>
      <c r="F16" s="6"/>
    </row>
    <row r="17" spans="2:6" ht="16.5" thickBot="1" x14ac:dyDescent="0.3">
      <c r="B17" s="19"/>
      <c r="C17" s="19"/>
      <c r="D17" s="19"/>
      <c r="E17" s="17"/>
      <c r="F17" s="6"/>
    </row>
    <row r="18" spans="2:6" x14ac:dyDescent="0.25">
      <c r="B18" s="20" t="s">
        <v>43</v>
      </c>
      <c r="C18" s="21"/>
      <c r="D18" s="22">
        <v>1000</v>
      </c>
      <c r="E18" s="17" t="s">
        <v>13</v>
      </c>
      <c r="F18" s="6"/>
    </row>
    <row r="19" spans="2:6" x14ac:dyDescent="0.25">
      <c r="B19" s="10" t="s">
        <v>41</v>
      </c>
      <c r="C19" s="11"/>
      <c r="D19" s="62">
        <v>0.08</v>
      </c>
      <c r="E19" s="17"/>
      <c r="F19" s="23"/>
    </row>
    <row r="20" spans="2:6" x14ac:dyDescent="0.25">
      <c r="B20" s="24" t="s">
        <v>17</v>
      </c>
      <c r="C20" s="25"/>
      <c r="D20" s="63">
        <v>0.08</v>
      </c>
      <c r="E20" s="17"/>
      <c r="F20" s="23"/>
    </row>
    <row r="21" spans="2:6" ht="16.5" thickBot="1" x14ac:dyDescent="0.3">
      <c r="B21" s="14" t="s">
        <v>26</v>
      </c>
      <c r="C21" s="15"/>
      <c r="D21" s="26">
        <f>+SUM(D19:D20)</f>
        <v>0.16</v>
      </c>
      <c r="E21" s="17" t="s">
        <v>14</v>
      </c>
      <c r="F21" s="27"/>
    </row>
    <row r="22" spans="2:6" ht="16.5" thickBot="1" x14ac:dyDescent="0.3">
      <c r="C22" s="18"/>
      <c r="E22" s="17"/>
      <c r="F22" s="28"/>
    </row>
    <row r="23" spans="2:6" x14ac:dyDescent="0.25">
      <c r="B23" s="7" t="s">
        <v>3</v>
      </c>
      <c r="C23" s="8"/>
      <c r="D23" s="9">
        <v>44352</v>
      </c>
      <c r="E23" s="17"/>
      <c r="F23" s="6"/>
    </row>
    <row r="24" spans="2:6" ht="16.5" thickBot="1" x14ac:dyDescent="0.3">
      <c r="B24" s="14" t="s">
        <v>4</v>
      </c>
      <c r="C24" s="15"/>
      <c r="D24" s="16">
        <f>ROUND((DATEDIF(D13,D23,"d")/365.25)*12,0)</f>
        <v>28</v>
      </c>
      <c r="E24" s="17" t="s">
        <v>15</v>
      </c>
      <c r="F24" s="6"/>
    </row>
    <row r="25" spans="2:6" ht="16.5" thickBot="1" x14ac:dyDescent="0.3">
      <c r="C25" s="18"/>
      <c r="D25" s="29"/>
      <c r="E25" s="17"/>
      <c r="F25" s="6"/>
    </row>
    <row r="26" spans="2:6" x14ac:dyDescent="0.25">
      <c r="B26" s="30" t="s">
        <v>10</v>
      </c>
      <c r="C26" s="31"/>
      <c r="D26" s="32">
        <f>+MAX(SUM(D29:D30)+D27-D31,0)</f>
        <v>39.333333333333343</v>
      </c>
      <c r="E26" s="17" t="s">
        <v>28</v>
      </c>
      <c r="F26" s="6"/>
    </row>
    <row r="27" spans="2:6" ht="16.350000000000001" customHeight="1" x14ac:dyDescent="0.25">
      <c r="B27" s="33" t="s">
        <v>5</v>
      </c>
      <c r="C27" s="34"/>
      <c r="D27" s="35">
        <f>+D18*(1-D21)*((D15-D24)*(D15-D24+1))/(D15*(D15+1))</f>
        <v>37.333333333333336</v>
      </c>
      <c r="E27" s="36"/>
      <c r="F27" s="37"/>
    </row>
    <row r="28" spans="2:6" x14ac:dyDescent="0.25">
      <c r="B28" s="33" t="s">
        <v>26</v>
      </c>
      <c r="C28" s="34"/>
      <c r="D28" s="35">
        <f>+D29+D30</f>
        <v>32</v>
      </c>
      <c r="E28" s="36"/>
      <c r="F28" s="37"/>
    </row>
    <row r="29" spans="2:6" x14ac:dyDescent="0.25">
      <c r="B29" s="33"/>
      <c r="C29" s="34" t="s">
        <v>41</v>
      </c>
      <c r="D29" s="35">
        <f>+D18*D19*((D15-D24)/D15)</f>
        <v>16</v>
      </c>
      <c r="E29" s="17"/>
      <c r="F29" s="38"/>
    </row>
    <row r="30" spans="2:6" x14ac:dyDescent="0.25">
      <c r="B30" s="39"/>
      <c r="C30" s="40" t="s">
        <v>17</v>
      </c>
      <c r="D30" s="41">
        <f>+D18*D20*((D15-D24)/D15)</f>
        <v>16</v>
      </c>
      <c r="E30" s="17"/>
      <c r="F30" s="6"/>
    </row>
    <row r="31" spans="2:6" ht="16.5" thickBot="1" x14ac:dyDescent="0.3">
      <c r="B31" s="42" t="s">
        <v>11</v>
      </c>
      <c r="C31" s="43"/>
      <c r="D31" s="44">
        <f>MAX(30,5%*(D27+D29+D30))</f>
        <v>30</v>
      </c>
      <c r="E31" s="17" t="s">
        <v>27</v>
      </c>
      <c r="F31" s="6"/>
    </row>
    <row r="32" spans="2:6" x14ac:dyDescent="0.25">
      <c r="E32" s="6"/>
      <c r="F32" s="6"/>
    </row>
    <row r="33" spans="2:6" x14ac:dyDescent="0.25">
      <c r="B33" s="45"/>
      <c r="C33" s="45" t="s">
        <v>6</v>
      </c>
      <c r="E33" s="6"/>
      <c r="F33" s="6"/>
    </row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x14ac:dyDescent="0.25"/>
  </sheetData>
  <sheetProtection algorithmName="SHA-512" hashValue="1M/dEOs3Pofz1H2I9IBRINf/TfovHrSKs6t4eaZ7BVtuVYKEXuA8rHWeHnrMxxrf5JwfXBpD+CeTPTR6srseOg==" saltValue="MVVz6sE1Syv7wUkcPTvp4Q==" spinCount="100000" sheet="1" objects="1" scenarios="1"/>
  <protectedRanges>
    <protectedRange sqref="D11 D13 D14 D18 D23" name="Range1"/>
  </protectedRanges>
  <pageMargins left="0.7" right="0.7" top="0.75" bottom="0.75" header="0.3" footer="0.3"/>
  <pageSetup paperSize="9" orientation="portrait" r:id="rId1"/>
  <headerFooter>
    <oddFooter>&amp;C&amp;1#&amp;"Calibri"&amp;10&amp;K000000Internal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672DEF-D330-4C4A-AB9F-622174323781}">
          <x14:formula1>
            <xm:f>Feuil1!$B$11:$B$13</xm:f>
          </x14:formula1>
          <xm:sqref>D11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15"/>
  <sheetViews>
    <sheetView topLeftCell="B1" workbookViewId="0">
      <selection activeCell="B11" sqref="B11:B13"/>
    </sheetView>
  </sheetViews>
  <sheetFormatPr defaultColWidth="11.42578125" defaultRowHeight="15" x14ac:dyDescent="0.25"/>
  <cols>
    <col min="1" max="1" width="4.5703125" customWidth="1"/>
    <col min="2" max="2" width="14.85546875" customWidth="1"/>
    <col min="4" max="4" width="13.28515625" customWidth="1"/>
    <col min="7" max="8" width="19" bestFit="1" customWidth="1"/>
  </cols>
  <sheetData>
    <row r="3" spans="2:7" x14ac:dyDescent="0.25">
      <c r="C3" s="50">
        <v>43497</v>
      </c>
      <c r="D3" s="50">
        <v>45120</v>
      </c>
      <c r="E3" s="50"/>
      <c r="F3" s="56">
        <v>43497</v>
      </c>
      <c r="G3" s="50">
        <v>45120</v>
      </c>
    </row>
    <row r="4" spans="2:7" x14ac:dyDescent="0.25">
      <c r="B4" s="49" t="s">
        <v>21</v>
      </c>
      <c r="C4" t="s">
        <v>25</v>
      </c>
      <c r="F4" s="57" t="s">
        <v>29</v>
      </c>
    </row>
    <row r="5" spans="2:7" x14ac:dyDescent="0.25">
      <c r="B5" t="s">
        <v>38</v>
      </c>
      <c r="C5" s="51">
        <v>0.1</v>
      </c>
      <c r="D5" s="51">
        <v>0.08</v>
      </c>
      <c r="E5" t="s">
        <v>36</v>
      </c>
      <c r="F5" s="58">
        <v>0.1</v>
      </c>
      <c r="G5" s="53">
        <v>0.08</v>
      </c>
    </row>
    <row r="6" spans="2:7" x14ac:dyDescent="0.25">
      <c r="B6" t="s">
        <v>24</v>
      </c>
      <c r="C6" s="121">
        <v>0.1</v>
      </c>
      <c r="D6" s="121">
        <v>0.08</v>
      </c>
      <c r="E6" t="s">
        <v>24</v>
      </c>
      <c r="F6" s="52">
        <v>0.126</v>
      </c>
      <c r="G6" s="53">
        <v>0.08</v>
      </c>
    </row>
    <row r="7" spans="2:7" x14ac:dyDescent="0.25">
      <c r="B7" t="s">
        <v>23</v>
      </c>
      <c r="C7" s="114">
        <v>0.105</v>
      </c>
      <c r="D7" s="51">
        <v>0.08</v>
      </c>
    </row>
    <row r="8" spans="2:7" x14ac:dyDescent="0.25">
      <c r="B8" t="s">
        <v>37</v>
      </c>
      <c r="C8" s="51">
        <v>0.1</v>
      </c>
      <c r="D8" s="51">
        <v>0.08</v>
      </c>
    </row>
    <row r="9" spans="2:7" x14ac:dyDescent="0.25">
      <c r="C9" s="51"/>
      <c r="D9" s="51"/>
    </row>
    <row r="10" spans="2:7" x14ac:dyDescent="0.25">
      <c r="B10" s="49" t="s">
        <v>22</v>
      </c>
      <c r="C10" s="50"/>
      <c r="E10" s="55"/>
      <c r="F10" s="51"/>
    </row>
    <row r="11" spans="2:7" x14ac:dyDescent="0.25">
      <c r="B11" t="s">
        <v>38</v>
      </c>
      <c r="C11" s="121">
        <v>0.1</v>
      </c>
      <c r="D11" s="54">
        <v>0.08</v>
      </c>
      <c r="E11" s="51"/>
    </row>
    <row r="12" spans="2:7" x14ac:dyDescent="0.25">
      <c r="B12" t="s">
        <v>23</v>
      </c>
      <c r="C12" s="114">
        <v>0.105</v>
      </c>
      <c r="D12" s="51">
        <v>0.08</v>
      </c>
    </row>
    <row r="13" spans="2:7" x14ac:dyDescent="0.25">
      <c r="B13" t="s">
        <v>37</v>
      </c>
      <c r="C13" s="51">
        <v>0.1</v>
      </c>
      <c r="D13" s="51">
        <v>0.08</v>
      </c>
      <c r="E13" s="51"/>
      <c r="G13" s="50"/>
    </row>
    <row r="14" spans="2:7" x14ac:dyDescent="0.25">
      <c r="D14" s="51"/>
      <c r="E14" s="54"/>
    </row>
    <row r="15" spans="2:7" x14ac:dyDescent="0.25">
      <c r="C15" s="53"/>
    </row>
  </sheetData>
  <pageMargins left="0.7" right="0.7" top="0.75" bottom="0.75" header="0.3" footer="0.3"/>
  <pageSetup paperSize="9" orientation="portrait" r:id="rId1"/>
  <headerFooter>
    <oddFooter>&amp;C&amp;1#&amp;"Calibri"&amp;10&amp;K000000Internal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6FAF87413BB84D82B4C343F8090648" ma:contentTypeVersion="20" ma:contentTypeDescription="Create a new document." ma:contentTypeScope="" ma:versionID="00b3e1d135bd8edfa9c8f9c3bd7d0300">
  <xsd:schema xmlns:xsd="http://www.w3.org/2001/XMLSchema" xmlns:xs="http://www.w3.org/2001/XMLSchema" xmlns:p="http://schemas.microsoft.com/office/2006/metadata/properties" xmlns:ns1="http://schemas.microsoft.com/sharepoint/v3" xmlns:ns2="f5e57b23-ed1d-4940-b886-243234855850" xmlns:ns3="fe7d766c-bbf6-44bd-8277-9c4862ea5404" xmlns:ns4="e5f4ad54-e804-4d3e-b2df-411c18fe5cab" targetNamespace="http://schemas.microsoft.com/office/2006/metadata/properties" ma:root="true" ma:fieldsID="8b36a6eb6192b91fe61b2553d19b4c02" ns1:_="" ns2:_="" ns3:_="" ns4:_="">
    <xsd:import namespace="http://schemas.microsoft.com/sharepoint/v3"/>
    <xsd:import namespace="f5e57b23-ed1d-4940-b886-243234855850"/>
    <xsd:import namespace="fe7d766c-bbf6-44bd-8277-9c4862ea5404"/>
    <xsd:import namespace="e5f4ad54-e804-4d3e-b2df-411c18fe5c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57b23-ed1d-4940-b886-24323485585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d766c-bbf6-44bd-8277-9c4862ea54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4ad54-e804-4d3e-b2df-411c18fe5cab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10844ab-2b28-4067-8a6c-56c36e34aa1c}" ma:internalName="TaxCatchAll" ma:showField="CatchAllData" ma:web="e5f4ad54-e804-4d3e-b2df-411c18fe5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e5f4ad54-e804-4d3e-b2df-411c18fe5cab" xsi:nil="true"/>
    <lcf76f155ced4ddcb4097134ff3c332f xmlns="fe7d766c-bbf6-44bd-8277-9c4862ea5404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C8B41-88E7-4348-9F89-4E1737D37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5e57b23-ed1d-4940-b886-243234855850"/>
    <ds:schemaRef ds:uri="fe7d766c-bbf6-44bd-8277-9c4862ea5404"/>
    <ds:schemaRef ds:uri="e5f4ad54-e804-4d3e-b2df-411c18fe5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DC83F5-FA98-4024-913C-91B41D583D14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BFE20FDF-7B91-4225-B1A1-AA42CA3D638C}">
  <ds:schemaRefs>
    <ds:schemaRef ds:uri="http://schemas.microsoft.com/office/2006/documentManagement/types"/>
    <ds:schemaRef ds:uri="http://schemas.microsoft.com/office/infopath/2007/PartnerControls"/>
    <ds:schemaRef ds:uri="f5e57b23-ed1d-4940-b886-243234855850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e5f4ad54-e804-4d3e-b2df-411c18fe5cab"/>
    <ds:schemaRef ds:uri="fe7d766c-bbf6-44bd-8277-9c4862ea5404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F096E81-6DC5-410A-AC13-1BC3C3869F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Modello CQS Vita</vt:lpstr>
      <vt:lpstr>Modello CQS Vita ante 1 Feb 201</vt:lpstr>
      <vt:lpstr>Modello CQS Credito</vt:lpstr>
      <vt:lpstr>Feuil1</vt:lpstr>
    </vt:vector>
  </TitlesOfParts>
  <Company>AXA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MAJERNA Eleonora</dc:creator>
  <cp:lastModifiedBy>MAJERNA, Eleonora (AXA CLP)</cp:lastModifiedBy>
  <dcterms:created xsi:type="dcterms:W3CDTF">2016-02-08T15:12:20Z</dcterms:created>
  <dcterms:modified xsi:type="dcterms:W3CDTF">2024-01-26T08:13:06Z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2020-10-20T13:57:09Z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912f873c-04f7-46d6-829a-0000519eda00</vt:lpwstr>
  </property>
  <property fmtid="{D5CDD505-2E9C-101B-9397-08002B2CF9AE}" pid="8" name="MSIP_Label_650226c0-61d2-4787-ab3e-b91f71753c59_ContentBits">
    <vt:lpwstr>2</vt:lpwstr>
  </property>
  <property fmtid="{D5CDD505-2E9C-101B-9397-08002B2CF9AE}" pid="9" name="ContentTypeId">
    <vt:lpwstr>0x010100B86FAF87413BB84D82B4C343F8090648</vt:lpwstr>
  </property>
  <property fmtid="{D5CDD505-2E9C-101B-9397-08002B2CF9AE}" pid="10" name="MediaServiceImageTags">
    <vt:lpwstr/>
  </property>
</Properties>
</file>